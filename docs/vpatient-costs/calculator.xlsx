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راهنما" sheetId="1" r:id="rId1"/>
    <sheet name="ماشین‌حساب" sheetId="2" r:id="rId2"/>
    <sheet name="قیمت مدل‌ها" sheetId="3" r:id="rId3"/>
    <sheet name="سهمیه" sheetId="4" r:id="rId4"/>
    <sheet name="نمونه‌ها" sheetId="5" r:id="rId5"/>
  </sheets>
  <definedNames>
    <definedName name="_xlnm._FilterDatabase" localSheetId="4" hidden="1">'نمونه‌ها'!$A$1:$J$55</definedName>
  </definedNames>
  <calcPr calcId="124519" fullCalcOnLoad="1"/>
</workbook>
</file>

<file path=xl/sharedStrings.xml><?xml version="1.0" encoding="utf-8"?>
<sst xmlns="http://schemas.openxmlformats.org/spreadsheetml/2006/main" count="256" uniqueCount="101">
  <si>
    <t>وضعیت</t>
  </si>
  <si>
    <t>تمام مقادیر توکن، شمارش محلی متن‌های مصنوعی هستند؛ هیچ completion زنده و هیچ صورتحساب واقعی در این پژوهش وجود ندارد.</t>
  </si>
  <si>
    <t>تعداد نمونه</t>
  </si>
  <si>
    <t>۱۸ ترکیب اصلی از ۳ کیس × ۲ زبان × ۳ طول؛ ۳۶ ترکیب اضافه برای آزمون طول پاسخ؛ مجموع ۵۴ اجرای آفلاین و ۱۶۵۶ درخواست شبیه‌سازی‌شده.</t>
  </si>
  <si>
    <t>نمونه پیش‌فرض</t>
  </si>
  <si>
    <t>میانگین ۳ کیس فارسی با ۲۰ پرسش شرح‌حال، ۳ معاینه، ۲ گزارش فاقد نتیجه ثبت‌شده و ۲ درخواست نمره/درسنامه؛ حداقل طول مصنوعی پاسخ بیمار ۶۰ توکن. طول واقعی میانگین پاسخ حدود ۶۵ توکن است.</t>
  </si>
  <si>
    <t>هشدار</t>
  </si>
  <si>
    <t>متن‌های افزوده آزمون طول، filler آشکارند؛ مکالمه طبیعی یا میانگین واقعی کاربران معرفی نمی‌شوند. دو آزمایش ثبت‌شده دیگر نیز وجود دارند که درخواست مدل ندارند.</t>
  </si>
  <si>
    <t>AI grading</t>
  </si>
  <si>
    <t>تصمیم معیارها و درسنامه باید از مدل معتبر باشند؛ جمع وزن‌ها توسط کد انجام می‌شود. شکست مدل نباید نمره قاعده‌محور نهایی ثبت کند.</t>
  </si>
  <si>
    <t>توکنایزر</t>
  </si>
  <si>
    <t>o200k_base برای تخمین GPT-4.1 مناسب است؛ overhead پیام تخمینی است. اعداد Gemini/DeepSeek فقط جایگذاری حجم فرضی‌اند، نه شمارش توکنایزر بومی آن مدل‌ها.</t>
  </si>
  <si>
    <t>هزینه</t>
  </si>
  <si>
    <t>قیمت‌ها دلار بر میلیون توکن‌اند؛ کارمزد شارژ، مالیات، reasoning، retry و caching از هزینه پایه جدا هستند. خروجی usage واقعی معمولاً reasoning را از پیش شامل می‌شود؛ آن را دوبار اضافه نکنید.</t>
  </si>
  <si>
    <t>سهمیه</t>
  </si>
  <si>
    <t>سهمیه عمومی ۵۰ یا ۱۰۰۰ درخواست روزانه و ۲۰ در دقیقه است؛ سهمیه واقعی حساب باید از /api/v1/key بررسی شود. سهمیه بین کاربران/کلیدهای همان حساب تقسیم می‌شود.</t>
  </si>
  <si>
    <t>ویرایش</t>
  </si>
  <si>
    <t>در ماشین‌حساب، سلول‌های آبی ورودی قابل تغییرند. تمام نتایج از فرمول اکسل محاسبه می‌شوند. ضریب ذخیره ۱٫۳ صرفاً پیشنهاد بودجه است، نه تضمین سقف هزینه.</t>
  </si>
  <si>
    <t>تاریخ</t>
  </si>
  <si>
    <t>2026-09-18. قیمت و ظرفیت مدل‌ها تغییر می‌کنند؛ Gemini 2.5 Flash در صفحه فعلی تاریخ پایان 2026-10-20 دارد.</t>
  </si>
  <si>
    <t>منابع</t>
  </si>
  <si>
    <t>https://openrouter.ai/docs/api_reference/limits
https://openrouter.ai/docs/faq
https://openrouter.ai/docs/cookbook/administration/usage-accounting
https://openrouter.ai/docs/guides/best-practices/reasoning-tokens
https://openrouter.ai/docs/guides/best-practices/prompt-caching</t>
  </si>
  <si>
    <t>ماشین‌حساب قابل ویرایش — نمونه آفلاین، نه صورتحساب</t>
  </si>
  <si>
    <t>پیش‌فرض برای GPT-4.1 mini و ۱۰۰ برخورد؛ هزینه پایه بدون reasoning/cache/retry است.</t>
  </si>
  <si>
    <t>توکن ورودی هر برخورد</t>
  </si>
  <si>
    <t>توکن خروجی قابل مشاهده هر برخورد</t>
  </si>
  <si>
    <t>reasoning اضافه هر برخورد — اگر قبلاً در خروجی نیست</t>
  </si>
  <si>
    <t>تعداد برخورد</t>
  </si>
  <si>
    <t>ضریب ذخیره بودجه</t>
  </si>
  <si>
    <t>قیمت ورودی / میلیون دلار</t>
  </si>
  <si>
    <t>قیمت خروجی / میلیون دلار</t>
  </si>
  <si>
    <t>سهم توکن ورودی cache شده؛ بین صفر و یک</t>
  </si>
  <si>
    <t>قیمت cache read / میلیون دلار</t>
  </si>
  <si>
    <t>درخواست API هر برخورد</t>
  </si>
  <si>
    <t>سهمیه روزانه درخواست</t>
  </si>
  <si>
    <t>درخواست در دقیقه</t>
  </si>
  <si>
    <t>مبلغ اعتبار خریداری‌شده، جدا از کارمزد</t>
  </si>
  <si>
    <t>هزینه پایه هر برخورد</t>
  </si>
  <si>
    <t>هزینه پایه همه برخوردها</t>
  </si>
  <si>
    <t>بودجه با ضریب ذخیره</t>
  </si>
  <si>
    <t>کل درخواست‌های لازم</t>
  </si>
  <si>
    <t>برخورد کامل در روز، بدون retry</t>
  </si>
  <si>
    <t>روز لازم، اگر برخوردها در همان روز تمام شوند</t>
  </si>
  <si>
    <t>دقیقه ظرفیت متوسط درخواست؛ نه تضمین زمان تکمیل</t>
  </si>
  <si>
    <t>کارمزد مستقل خرید اعتبار با کارت</t>
  </si>
  <si>
    <t>اعتبار + کارمزد، پیش از مالیات</t>
  </si>
  <si>
    <t>اگر ۱۰۰ برخورد در روز دارید، برای هزینه ماه ۳۰روزه تعداد را ۳۰۰۰ بگذارید.</t>
  </si>
  <si>
    <t>ضریب ۳۰٪ ذخیره، هزینه اضافی قطعی نیست.</t>
  </si>
  <si>
    <t>cache فقط با اندازه‌گیری واقعی فرض شود؛ پیش‌فرض صفر است.</t>
  </si>
  <si>
    <t>۱۰ اعتبار خرید، با کارمزد حداقل ۰٫۸ دلار → ۱۰٫۸ دلار پیش از مالیات.</t>
  </si>
  <si>
    <t>مدل</t>
  </si>
  <si>
    <t>ورودی / ۱M دلار</t>
  </si>
  <si>
    <t>خروجی / ۱M دلار</t>
  </si>
  <si>
    <t>هر برخورد دلار</t>
  </si>
  <si>
    <t>تعداد انتخاب‌شده دلار</t>
  </si>
  <si>
    <t>۳۰۰۰ برخورد دلار</t>
  </si>
  <si>
    <t>منبع</t>
  </si>
  <si>
    <t>محدودیت</t>
  </si>
  <si>
    <t>GPT-4.1 nano</t>
  </si>
  <si>
    <t>https://openrouter.ai/openai/gpt-4.1-nano</t>
  </si>
  <si>
    <t>o200k-based text estimate; not measured API usage</t>
  </si>
  <si>
    <t>GPT-4.1 mini</t>
  </si>
  <si>
    <t>https://openrouter.ai/openai/gpt-4.1-mini</t>
  </si>
  <si>
    <t>Gemini 2.5 Flash</t>
  </si>
  <si>
    <t>https://openrouter.ai/google/gemini-2.5-flash</t>
  </si>
  <si>
    <t>Proxy token volume; native tokenizer/reasoning differs. Page says retiring 2026-10-20.</t>
  </si>
  <si>
    <t>Gemini 3.1 Flash Lite Preview</t>
  </si>
  <si>
    <t>https://openrouter.ai/google/gemini-3.1-flash-lite-preview</t>
  </si>
  <si>
    <t>Preview model; proxy token volume and additional reasoning may differ.</t>
  </si>
  <si>
    <t>DeepSeek V3.2 / DeepInfra</t>
  </si>
  <si>
    <t>https://openrouter.ai/deepseek/deepseek-v3.2</t>
  </si>
  <si>
    <t>Named provider rate, not cheapest promo. Proxy tokenizer; reasoning excluded.</t>
  </si>
  <si>
    <t>سناریو</t>
  </si>
  <si>
    <t>پرسش شرح‌حال</t>
  </si>
  <si>
    <t>معاینه</t>
  </si>
  <si>
    <t>گزارش ناموجود</t>
  </si>
  <si>
    <t>API با نمره و درسنامه</t>
  </si>
  <si>
    <t>برخورد/روز با ۵۰</t>
  </si>
  <si>
    <t>برخورد/روز با ۱۰۰۰</t>
  </si>
  <si>
    <t>فقط یک سؤال و ارزیابی</t>
  </si>
  <si>
    <t>کوتاه</t>
  </si>
  <si>
    <t>متوسط</t>
  </si>
  <si>
    <t>طولانی</t>
  </si>
  <si>
    <t>حالت پاسخ</t>
  </si>
  <si>
    <t>کیس</t>
  </si>
  <si>
    <t>زبان</t>
  </si>
  <si>
    <t>طول</t>
  </si>
  <si>
    <t>درخواست</t>
  </si>
  <si>
    <t>ورودی o200k</t>
  </si>
  <si>
    <t>خروجی o200k</t>
  </si>
  <si>
    <t>ورودی cl100k</t>
  </si>
  <si>
    <t>خروجی cl100k</t>
  </si>
  <si>
    <t>حداقل هدف پاسخ بیمار</t>
  </si>
  <si>
    <t>authored_short</t>
  </si>
  <si>
    <t>fa</t>
  </si>
  <si>
    <t>short</t>
  </si>
  <si>
    <t>standard</t>
  </si>
  <si>
    <t>long</t>
  </si>
  <si>
    <t>en</t>
  </si>
  <si>
    <t>length_stress_60</t>
  </si>
  <si>
    <t>length_stress_120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</si>
</sst>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$0.000000"/>
    <numFmt numFmtId="166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268C4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C56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EDF5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64" fontId="2" fillId="4" borderId="0" xfId="0" applyNumberFormat="1" applyFont="1" applyFill="1"/>
    <xf numFmtId="165" fontId="0" fillId="0" borderId="0" xfId="0" applyNumberFormat="1"/>
    <xf numFmtId="166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penrouter.ai/docs/api_reference/limits&#xA;https://openrouter.ai/docs/faq&#xA;https://openrouter.ai/docs/cookbook/administration/usage-accounting&#xA;https://openrouter.ai/docs/guides/best-practices/reasoning-tokens&#xA;https://openrouter.ai/docs/guides/best-practices/prompt-cach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openrouter.ai/openai/gpt-4.1-nano" TargetMode="External"/><Relationship Id="rId2" Type="http://schemas.openxmlformats.org/officeDocument/2006/relationships/hyperlink" Target="https://openrouter.ai/openai/gpt-4.1-mini" TargetMode="External"/><Relationship Id="rId3" Type="http://schemas.openxmlformats.org/officeDocument/2006/relationships/hyperlink" Target="https://openrouter.ai/google/gemini-2.5-flash" TargetMode="External"/><Relationship Id="rId4" Type="http://schemas.openxmlformats.org/officeDocument/2006/relationships/hyperlink" Target="https://openrouter.ai/google/gemini-3.1-flash-lite-preview" TargetMode="External"/><Relationship Id="rId5" Type="http://schemas.openxmlformats.org/officeDocument/2006/relationships/hyperlink" Target="https://openrouter.ai/deepseek/deepseek-v3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rightToLeft="1" tabSelected="1" workbookViewId="0"/>
  </sheetViews>
  <sheetFormatPr defaultRowHeight="15"/>
  <cols>
    <col min="1" max="1" width="30.7109375" customWidth="1"/>
    <col min="2" max="2" width="105.7109375" customWidth="1"/>
  </cols>
  <sheetData>
    <row r="1" spans="1:2" ht="70" customHeight="1">
      <c r="A1" s="1" t="s">
        <v>0</v>
      </c>
      <c r="B1" s="2" t="s">
        <v>1</v>
      </c>
    </row>
    <row r="2" spans="1:2" ht="70" customHeight="1">
      <c r="A2" s="1" t="s">
        <v>2</v>
      </c>
      <c r="B2" s="2" t="s">
        <v>3</v>
      </c>
    </row>
    <row r="3" spans="1:2" ht="70" customHeight="1">
      <c r="A3" s="1" t="s">
        <v>4</v>
      </c>
      <c r="B3" s="2" t="s">
        <v>5</v>
      </c>
    </row>
    <row r="4" spans="1:2" ht="70" customHeight="1">
      <c r="A4" s="1" t="s">
        <v>6</v>
      </c>
      <c r="B4" s="2" t="s">
        <v>7</v>
      </c>
    </row>
    <row r="5" spans="1:2" ht="70" customHeight="1">
      <c r="A5" s="1" t="s">
        <v>8</v>
      </c>
      <c r="B5" s="2" t="s">
        <v>9</v>
      </c>
    </row>
    <row r="6" spans="1:2" ht="70" customHeight="1">
      <c r="A6" s="1" t="s">
        <v>10</v>
      </c>
      <c r="B6" s="2" t="s">
        <v>11</v>
      </c>
    </row>
    <row r="7" spans="1:2" ht="70" customHeight="1">
      <c r="A7" s="1" t="s">
        <v>12</v>
      </c>
      <c r="B7" s="2" t="s">
        <v>13</v>
      </c>
    </row>
    <row r="8" spans="1:2" ht="70" customHeight="1">
      <c r="A8" s="1" t="s">
        <v>14</v>
      </c>
      <c r="B8" s="2" t="s">
        <v>15</v>
      </c>
    </row>
    <row r="9" spans="1:2" ht="70" customHeight="1">
      <c r="A9" s="1" t="s">
        <v>16</v>
      </c>
      <c r="B9" s="2" t="s">
        <v>17</v>
      </c>
    </row>
    <row r="10" spans="1:2" ht="70" customHeight="1">
      <c r="A10" s="1" t="s">
        <v>18</v>
      </c>
      <c r="B10" s="2" t="s">
        <v>19</v>
      </c>
    </row>
    <row r="11" spans="1:2" ht="110" customHeight="1">
      <c r="A11" s="1" t="s">
        <v>20</v>
      </c>
      <c r="B11" s="2" t="s">
        <v>21</v>
      </c>
    </row>
  </sheetData>
  <hyperlinks>
    <hyperlink ref="B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rightToLeft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66.7109375" customWidth="1"/>
    <col min="2" max="2" width="24.7109375" customWidth="1"/>
    <col min="3" max="3" width="65.7109375" customWidth="1"/>
  </cols>
  <sheetData>
    <row r="1" spans="1:3">
      <c r="A1" s="1" t="s">
        <v>22</v>
      </c>
      <c r="B1" s="1"/>
      <c r="C1" s="1"/>
    </row>
    <row r="2" spans="1:3">
      <c r="A2" s="3" t="s">
        <v>23</v>
      </c>
      <c r="B2" s="3"/>
      <c r="C2" s="3"/>
    </row>
    <row r="4" spans="1:3">
      <c r="A4" s="2" t="s">
        <v>24</v>
      </c>
      <c r="B4" s="4">
        <v>40096</v>
      </c>
    </row>
    <row r="5" spans="1:3">
      <c r="A5" s="2" t="s">
        <v>25</v>
      </c>
      <c r="B5" s="4">
        <v>3159</v>
      </c>
    </row>
    <row r="6" spans="1:3">
      <c r="A6" s="2" t="s">
        <v>26</v>
      </c>
      <c r="B6" s="4">
        <v>0</v>
      </c>
    </row>
    <row r="7" spans="1:3">
      <c r="A7" s="2" t="s">
        <v>27</v>
      </c>
      <c r="B7" s="4">
        <v>100</v>
      </c>
      <c r="C7" s="2" t="s">
        <v>46</v>
      </c>
    </row>
    <row r="8" spans="1:3">
      <c r="A8" s="2" t="s">
        <v>28</v>
      </c>
      <c r="B8" s="4">
        <v>1.3</v>
      </c>
    </row>
    <row r="9" spans="1:3">
      <c r="A9" s="2" t="s">
        <v>29</v>
      </c>
      <c r="B9" s="4">
        <v>0.4</v>
      </c>
      <c r="C9" s="2" t="s">
        <v>47</v>
      </c>
    </row>
    <row r="10" spans="1:3">
      <c r="A10" s="2" t="s">
        <v>30</v>
      </c>
      <c r="B10" s="4">
        <v>1.6</v>
      </c>
    </row>
    <row r="11" spans="1:3">
      <c r="A11" s="2" t="s">
        <v>31</v>
      </c>
      <c r="B11" s="4">
        <v>0</v>
      </c>
      <c r="C11" s="2" t="s">
        <v>48</v>
      </c>
    </row>
    <row r="12" spans="1:3">
      <c r="A12" s="2" t="s">
        <v>32</v>
      </c>
      <c r="B12" s="4">
        <v>0.1</v>
      </c>
    </row>
    <row r="13" spans="1:3">
      <c r="A13" s="2" t="s">
        <v>33</v>
      </c>
      <c r="B13" s="4">
        <v>27</v>
      </c>
    </row>
    <row r="14" spans="1:3">
      <c r="A14" s="2" t="s">
        <v>34</v>
      </c>
      <c r="B14" s="4">
        <v>1000</v>
      </c>
    </row>
    <row r="15" spans="1:3">
      <c r="A15" s="2" t="s">
        <v>35</v>
      </c>
      <c r="B15" s="4">
        <v>20</v>
      </c>
    </row>
    <row r="16" spans="1:3">
      <c r="A16" s="2" t="s">
        <v>36</v>
      </c>
      <c r="B16" s="4">
        <v>10</v>
      </c>
      <c r="C16" s="2" t="s">
        <v>49</v>
      </c>
    </row>
    <row r="19" spans="1:2">
      <c r="A19" s="2" t="s">
        <v>37</v>
      </c>
      <c r="B19" s="5">
        <f>((B4*((1-B11)*B9+B11*B12))+(B5+B6)*B10)/1000000</f>
        <v>0.021092800000000002</v>
      </c>
    </row>
    <row r="20" spans="1:2">
      <c r="A20" s="2" t="s">
        <v>38</v>
      </c>
      <c r="B20" s="5">
        <f>B19*B7</f>
        <v>2.10928</v>
      </c>
    </row>
    <row r="21" spans="1:2">
      <c r="A21" s="2" t="s">
        <v>39</v>
      </c>
      <c r="B21" s="5">
        <f>B20*B8</f>
        <v>2.742064</v>
      </c>
    </row>
    <row r="22" spans="1:2">
      <c r="A22" s="2" t="s">
        <v>40</v>
      </c>
      <c r="B22" s="6">
        <f>B13*B7</f>
        <v>2700</v>
      </c>
    </row>
    <row r="23" spans="1:2">
      <c r="A23" s="2" t="s">
        <v>41</v>
      </c>
      <c r="B23" s="6">
        <f>ROUNDDOWN(B14/B13,0)</f>
        <v>37</v>
      </c>
    </row>
    <row r="24" spans="1:2">
      <c r="A24" s="2" t="s">
        <v>42</v>
      </c>
      <c r="B24" s="6">
        <f>IF(B23&gt;0,ROUNDUP(B7/B23,0),"برخورد در سهمیه یک روز جا نمی‌شود")</f>
        <v>3</v>
      </c>
    </row>
    <row r="25" spans="1:2">
      <c r="A25" s="2" t="s">
        <v>43</v>
      </c>
      <c r="B25" s="6">
        <f>B22/B15</f>
        <v>135</v>
      </c>
    </row>
    <row r="26" spans="1:2">
      <c r="A26" s="2" t="s">
        <v>44</v>
      </c>
      <c r="B26" s="5">
        <f>IF(B16&gt;0,MAX(0.8,B16*0.055),0)</f>
        <v>0.8</v>
      </c>
    </row>
    <row r="27" spans="1:2">
      <c r="A27" s="2" t="s">
        <v>45</v>
      </c>
      <c r="B27" s="5">
        <f>B16+B26</f>
        <v>10.8</v>
      </c>
    </row>
  </sheetData>
  <mergeCells count="2">
    <mergeCell ref="A1:C1"/>
    <mergeCell ref="A2:C2"/>
  </mergeCells>
  <dataValidations count="3">
    <dataValidation type="decimal" operator="greaterThanOrEqual" allowBlank="1" showInputMessage="1" showErrorMessage="1" sqref="B4:B16">
      <formula1>0</formula1>
    </dataValidation>
    <dataValidation type="decimal" allowBlank="1" showInputMessage="1" showErrorMessage="1" sqref="B11">
      <formula1>0</formula1>
      <formula2>1</formula2>
    </dataValidation>
    <dataValidation type="whole" operator="greaterThanOrEqual" allowBlank="1" showInputMessage="1" showErrorMessage="1" sqref="B13:B15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rightToLeft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6" width="20.7109375" customWidth="1"/>
    <col min="7" max="7" width="60.7109375" customWidth="1"/>
    <col min="8" max="8" width="85.7109375" customWidth="1"/>
  </cols>
  <sheetData>
    <row r="1" spans="1:8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55" customHeight="1">
      <c r="A2" t="s">
        <v>58</v>
      </c>
      <c r="B2" s="4">
        <v>0.1</v>
      </c>
      <c r="C2" s="4">
        <v>0.4</v>
      </c>
      <c r="D2" s="5">
        <f>('ماشین‌حساب'!$B$4*B2+('ماشین‌حساب'!$B$5+'ماشین‌حساب'!$B$6)*C2)/1000000</f>
        <v>0.0052732000000000005</v>
      </c>
      <c r="E2" s="5">
        <f>D2*'ماشین‌حساب'!$B$7</f>
        <v>0.5273200000000001</v>
      </c>
      <c r="F2" s="5">
        <f>D2*3000</f>
        <v>15.819600000000003</v>
      </c>
      <c r="G2" s="7" t="s">
        <v>59</v>
      </c>
      <c r="H2" s="2" t="s">
        <v>60</v>
      </c>
    </row>
    <row r="3" spans="1:8" ht="55" customHeight="1">
      <c r="A3" t="s">
        <v>61</v>
      </c>
      <c r="B3" s="4">
        <v>0.4</v>
      </c>
      <c r="C3" s="4">
        <v>1.6</v>
      </c>
      <c r="D3" s="5">
        <f>('ماشین‌حساب'!$B$4*B3+('ماشین‌حساب'!$B$5+'ماشین‌حساب'!$B$6)*C3)/1000000</f>
        <v>0.021092800000000002</v>
      </c>
      <c r="E3" s="5">
        <f>D3*'ماشین‌حساب'!$B$7</f>
        <v>2.1092800000000005</v>
      </c>
      <c r="F3" s="5">
        <f>D3*3000</f>
        <v>63.27840000000001</v>
      </c>
      <c r="G3" s="7" t="s">
        <v>62</v>
      </c>
      <c r="H3" s="2" t="s">
        <v>60</v>
      </c>
    </row>
    <row r="4" spans="1:8" ht="55" customHeight="1">
      <c r="A4" t="s">
        <v>63</v>
      </c>
      <c r="B4" s="4">
        <v>0.3</v>
      </c>
      <c r="C4" s="4">
        <v>2.5</v>
      </c>
      <c r="D4" s="5">
        <f>('ماشین‌حساب'!$B$4*B4+('ماشین‌حساب'!$B$5+'ماشین‌حساب'!$B$6)*C4)/1000000</f>
        <v>0.0199263</v>
      </c>
      <c r="E4" s="5">
        <f>D4*'ماشین‌حساب'!$B$7</f>
        <v>1.99263</v>
      </c>
      <c r="F4" s="5">
        <f>D4*3000</f>
        <v>59.7789</v>
      </c>
      <c r="G4" s="7" t="s">
        <v>64</v>
      </c>
      <c r="H4" s="2" t="s">
        <v>65</v>
      </c>
    </row>
    <row r="5" spans="1:8" ht="55" customHeight="1">
      <c r="A5" t="s">
        <v>66</v>
      </c>
      <c r="B5" s="4">
        <v>0.25</v>
      </c>
      <c r="C5" s="4">
        <v>1.5</v>
      </c>
      <c r="D5" s="5">
        <f>('ماشین‌حساب'!$B$4*B5+('ماشین‌حساب'!$B$5+'ماشین‌حساب'!$B$6)*C5)/1000000</f>
        <v>0.0147625</v>
      </c>
      <c r="E5" s="5">
        <f>D5*'ماشین‌حساب'!$B$7</f>
        <v>1.47625</v>
      </c>
      <c r="F5" s="5">
        <f>D5*3000</f>
        <v>44.2875</v>
      </c>
      <c r="G5" s="7" t="s">
        <v>67</v>
      </c>
      <c r="H5" s="2" t="s">
        <v>68</v>
      </c>
    </row>
    <row r="6" spans="1:8" ht="55" customHeight="1">
      <c r="A6" t="s">
        <v>69</v>
      </c>
      <c r="B6" s="4">
        <v>0.26</v>
      </c>
      <c r="C6" s="4">
        <v>0.38</v>
      </c>
      <c r="D6" s="5">
        <f>('ماشین‌حساب'!$B$4*B6+('ماشین‌حساب'!$B$5+'ماشین‌حساب'!$B$6)*C6)/1000000</f>
        <v>0.011625380000000001</v>
      </c>
      <c r="E6" s="5">
        <f>D6*'ماشین‌حساب'!$B$7</f>
        <v>1.162538</v>
      </c>
      <c r="F6" s="5">
        <f>D6*3000</f>
        <v>34.87614000000001</v>
      </c>
      <c r="G6" s="7" t="s">
        <v>70</v>
      </c>
      <c r="H6" s="2" t="s">
        <v>71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rightToLeft="1" workbookViewId="0"/>
  </sheetViews>
  <sheetFormatPr defaultRowHeight="15"/>
  <cols>
    <col min="1" max="1" width="42.7109375" customWidth="1"/>
    <col min="2" max="7" width="22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>
      <c r="A2" t="s">
        <v>79</v>
      </c>
      <c r="B2">
        <v>1</v>
      </c>
      <c r="C2">
        <v>0</v>
      </c>
      <c r="D2">
        <v>0</v>
      </c>
      <c r="E2" s="6">
        <f>SUM(B2:D2)+2</f>
        <v>3</v>
      </c>
      <c r="F2" s="6">
        <f>ROUNDDOWN(50/E2,0)</f>
        <v>16</v>
      </c>
      <c r="G2" s="6">
        <f>ROUNDDOWN(1000/E2,0)</f>
        <v>333</v>
      </c>
    </row>
    <row r="3" spans="1:7">
      <c r="A3" t="s">
        <v>80</v>
      </c>
      <c r="B3">
        <v>10</v>
      </c>
      <c r="C3">
        <v>2</v>
      </c>
      <c r="D3">
        <v>0</v>
      </c>
      <c r="E3" s="6">
        <f>SUM(B3:D3)+2</f>
        <v>14</v>
      </c>
      <c r="F3" s="6">
        <f>ROUNDDOWN(50/E3,0)</f>
        <v>3</v>
      </c>
      <c r="G3" s="6">
        <f>ROUNDDOWN(1000/E3,0)</f>
        <v>71</v>
      </c>
    </row>
    <row r="4" spans="1:7">
      <c r="A4" t="s">
        <v>81</v>
      </c>
      <c r="B4">
        <v>20</v>
      </c>
      <c r="C4">
        <v>3</v>
      </c>
      <c r="D4">
        <v>2</v>
      </c>
      <c r="E4" s="6">
        <f>SUM(B4:D4)+2</f>
        <v>27</v>
      </c>
      <c r="F4" s="6">
        <f>ROUNDDOWN(50/E4,0)</f>
        <v>1</v>
      </c>
      <c r="G4" s="6">
        <f>ROUNDDOWN(1000/E4,0)</f>
        <v>37</v>
      </c>
    </row>
    <row r="5" spans="1:7">
      <c r="A5" t="s">
        <v>82</v>
      </c>
      <c r="B5">
        <v>40</v>
      </c>
      <c r="C5">
        <v>5</v>
      </c>
      <c r="D5">
        <v>4</v>
      </c>
      <c r="E5" s="6">
        <f>SUM(B5:D5)+2</f>
        <v>51</v>
      </c>
      <c r="F5" s="6">
        <f>ROUNDDOWN(50/E5,0)</f>
        <v>0</v>
      </c>
      <c r="G5" s="6">
        <f>ROUNDDOWN(1000/E5,0)</f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5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5" width="14.7109375" customWidth="1"/>
    <col min="6" max="10" width="22.7109375" customWidth="1"/>
  </cols>
  <sheetData>
    <row r="1" spans="1:10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 spans="1:10">
      <c r="A2" t="s">
        <v>93</v>
      </c>
      <c r="B2">
        <v>1</v>
      </c>
      <c r="C2" t="s">
        <v>94</v>
      </c>
      <c r="D2" t="s">
        <v>95</v>
      </c>
      <c r="E2">
        <v>14</v>
      </c>
      <c r="F2">
        <v>18726</v>
      </c>
      <c r="G2">
        <v>2047</v>
      </c>
      <c r="H2">
        <v>33459</v>
      </c>
      <c r="I2">
        <v>3909</v>
      </c>
      <c r="J2">
        <v>0</v>
      </c>
    </row>
    <row r="3" spans="1:10">
      <c r="A3" t="s">
        <v>93</v>
      </c>
      <c r="B3">
        <v>1</v>
      </c>
      <c r="C3" t="s">
        <v>94</v>
      </c>
      <c r="D3" t="s">
        <v>96</v>
      </c>
      <c r="E3">
        <v>27</v>
      </c>
      <c r="F3">
        <v>34300</v>
      </c>
      <c r="G3">
        <v>2272</v>
      </c>
      <c r="H3">
        <v>62596</v>
      </c>
      <c r="I3">
        <v>4380</v>
      </c>
      <c r="J3">
        <v>0</v>
      </c>
    </row>
    <row r="4" spans="1:10">
      <c r="A4" t="s">
        <v>93</v>
      </c>
      <c r="B4">
        <v>1</v>
      </c>
      <c r="C4" t="s">
        <v>94</v>
      </c>
      <c r="D4" t="s">
        <v>97</v>
      </c>
      <c r="E4">
        <v>51</v>
      </c>
      <c r="F4">
        <v>66468</v>
      </c>
      <c r="G4">
        <v>2686</v>
      </c>
      <c r="H4">
        <v>122515</v>
      </c>
      <c r="I4">
        <v>5199</v>
      </c>
      <c r="J4">
        <v>0</v>
      </c>
    </row>
    <row r="5" spans="1:10">
      <c r="A5" t="s">
        <v>93</v>
      </c>
      <c r="B5">
        <v>1</v>
      </c>
      <c r="C5" t="s">
        <v>98</v>
      </c>
      <c r="D5" t="s">
        <v>95</v>
      </c>
      <c r="E5">
        <v>14</v>
      </c>
      <c r="F5">
        <v>13465</v>
      </c>
      <c r="G5">
        <v>1334</v>
      </c>
      <c r="H5">
        <v>14825</v>
      </c>
      <c r="I5">
        <v>1353</v>
      </c>
      <c r="J5">
        <v>0</v>
      </c>
    </row>
    <row r="6" spans="1:10">
      <c r="A6" t="s">
        <v>93</v>
      </c>
      <c r="B6">
        <v>1</v>
      </c>
      <c r="C6" t="s">
        <v>98</v>
      </c>
      <c r="D6" t="s">
        <v>96</v>
      </c>
      <c r="E6">
        <v>27</v>
      </c>
      <c r="F6">
        <v>24264</v>
      </c>
      <c r="G6">
        <v>1479</v>
      </c>
      <c r="H6">
        <v>26796</v>
      </c>
      <c r="I6">
        <v>1502</v>
      </c>
      <c r="J6">
        <v>0</v>
      </c>
    </row>
    <row r="7" spans="1:10">
      <c r="A7" t="s">
        <v>93</v>
      </c>
      <c r="B7">
        <v>1</v>
      </c>
      <c r="C7" t="s">
        <v>98</v>
      </c>
      <c r="D7" t="s">
        <v>97</v>
      </c>
      <c r="E7">
        <v>51</v>
      </c>
      <c r="F7">
        <v>46301</v>
      </c>
      <c r="G7">
        <v>1734</v>
      </c>
      <c r="H7">
        <v>51361</v>
      </c>
      <c r="I7">
        <v>1778</v>
      </c>
      <c r="J7">
        <v>0</v>
      </c>
    </row>
    <row r="8" spans="1:10">
      <c r="A8" t="s">
        <v>93</v>
      </c>
      <c r="B8">
        <v>2</v>
      </c>
      <c r="C8" t="s">
        <v>94</v>
      </c>
      <c r="D8" t="s">
        <v>95</v>
      </c>
      <c r="E8">
        <v>14</v>
      </c>
      <c r="F8">
        <v>17102</v>
      </c>
      <c r="G8">
        <v>1644</v>
      </c>
      <c r="H8">
        <v>31423</v>
      </c>
      <c r="I8">
        <v>3162</v>
      </c>
      <c r="J8">
        <v>0</v>
      </c>
    </row>
    <row r="9" spans="1:10">
      <c r="A9" t="s">
        <v>93</v>
      </c>
      <c r="B9">
        <v>2</v>
      </c>
      <c r="C9" t="s">
        <v>94</v>
      </c>
      <c r="D9" t="s">
        <v>96</v>
      </c>
      <c r="E9">
        <v>27</v>
      </c>
      <c r="F9">
        <v>31652</v>
      </c>
      <c r="G9">
        <v>1875</v>
      </c>
      <c r="H9">
        <v>59302</v>
      </c>
      <c r="I9">
        <v>3642</v>
      </c>
      <c r="J9">
        <v>0</v>
      </c>
    </row>
    <row r="10" spans="1:10">
      <c r="A10" t="s">
        <v>93</v>
      </c>
      <c r="B10">
        <v>2</v>
      </c>
      <c r="C10" t="s">
        <v>94</v>
      </c>
      <c r="D10" t="s">
        <v>97</v>
      </c>
      <c r="E10">
        <v>51</v>
      </c>
      <c r="F10">
        <v>61561</v>
      </c>
      <c r="G10">
        <v>2261</v>
      </c>
      <c r="H10">
        <v>116570</v>
      </c>
      <c r="I10">
        <v>4438</v>
      </c>
      <c r="J10">
        <v>0</v>
      </c>
    </row>
    <row r="11" spans="1:10">
      <c r="A11" t="s">
        <v>93</v>
      </c>
      <c r="B11">
        <v>2</v>
      </c>
      <c r="C11" t="s">
        <v>98</v>
      </c>
      <c r="D11" t="s">
        <v>95</v>
      </c>
      <c r="E11">
        <v>14</v>
      </c>
      <c r="F11">
        <v>12086</v>
      </c>
      <c r="G11">
        <v>1094</v>
      </c>
      <c r="H11">
        <v>13182</v>
      </c>
      <c r="I11">
        <v>1106</v>
      </c>
      <c r="J11">
        <v>0</v>
      </c>
    </row>
    <row r="12" spans="1:10">
      <c r="A12" t="s">
        <v>93</v>
      </c>
      <c r="B12">
        <v>2</v>
      </c>
      <c r="C12" t="s">
        <v>98</v>
      </c>
      <c r="D12" t="s">
        <v>96</v>
      </c>
      <c r="E12">
        <v>27</v>
      </c>
      <c r="F12">
        <v>21876</v>
      </c>
      <c r="G12">
        <v>1241</v>
      </c>
      <c r="H12">
        <v>23913</v>
      </c>
      <c r="I12">
        <v>1258</v>
      </c>
      <c r="J12">
        <v>0</v>
      </c>
    </row>
    <row r="13" spans="1:10">
      <c r="A13" t="s">
        <v>93</v>
      </c>
      <c r="B13">
        <v>2</v>
      </c>
      <c r="C13" t="s">
        <v>98</v>
      </c>
      <c r="D13" t="s">
        <v>97</v>
      </c>
      <c r="E13">
        <v>51</v>
      </c>
      <c r="F13">
        <v>41675</v>
      </c>
      <c r="G13">
        <v>1472</v>
      </c>
      <c r="H13">
        <v>45692</v>
      </c>
      <c r="I13">
        <v>1496</v>
      </c>
      <c r="J13">
        <v>0</v>
      </c>
    </row>
    <row r="14" spans="1:10">
      <c r="A14" t="s">
        <v>93</v>
      </c>
      <c r="B14">
        <v>3</v>
      </c>
      <c r="C14" t="s">
        <v>94</v>
      </c>
      <c r="D14" t="s">
        <v>95</v>
      </c>
      <c r="E14">
        <v>14</v>
      </c>
      <c r="F14">
        <v>16363</v>
      </c>
      <c r="G14">
        <v>1961</v>
      </c>
      <c r="H14">
        <v>30437</v>
      </c>
      <c r="I14">
        <v>3737</v>
      </c>
      <c r="J14">
        <v>0</v>
      </c>
    </row>
    <row r="15" spans="1:10">
      <c r="A15" t="s">
        <v>93</v>
      </c>
      <c r="B15">
        <v>3</v>
      </c>
      <c r="C15" t="s">
        <v>94</v>
      </c>
      <c r="D15" t="s">
        <v>96</v>
      </c>
      <c r="E15">
        <v>27</v>
      </c>
      <c r="F15">
        <v>30170</v>
      </c>
      <c r="G15">
        <v>2200</v>
      </c>
      <c r="H15">
        <v>57341</v>
      </c>
      <c r="I15">
        <v>4233</v>
      </c>
      <c r="J15">
        <v>0</v>
      </c>
    </row>
    <row r="16" spans="1:10">
      <c r="A16" t="s">
        <v>93</v>
      </c>
      <c r="B16">
        <v>3</v>
      </c>
      <c r="C16" t="s">
        <v>94</v>
      </c>
      <c r="D16" t="s">
        <v>97</v>
      </c>
      <c r="E16">
        <v>51</v>
      </c>
      <c r="F16">
        <v>58424</v>
      </c>
      <c r="G16">
        <v>2601</v>
      </c>
      <c r="H16">
        <v>112402</v>
      </c>
      <c r="I16">
        <v>5055</v>
      </c>
      <c r="J16">
        <v>0</v>
      </c>
    </row>
    <row r="17" spans="1:10">
      <c r="A17" t="s">
        <v>93</v>
      </c>
      <c r="B17">
        <v>3</v>
      </c>
      <c r="C17" t="s">
        <v>98</v>
      </c>
      <c r="D17" t="s">
        <v>95</v>
      </c>
      <c r="E17">
        <v>14</v>
      </c>
      <c r="F17">
        <v>11381</v>
      </c>
      <c r="G17">
        <v>1306</v>
      </c>
      <c r="H17">
        <v>12182</v>
      </c>
      <c r="I17">
        <v>1315</v>
      </c>
      <c r="J17">
        <v>0</v>
      </c>
    </row>
    <row r="18" spans="1:10">
      <c r="A18" t="s">
        <v>93</v>
      </c>
      <c r="B18">
        <v>3</v>
      </c>
      <c r="C18" t="s">
        <v>98</v>
      </c>
      <c r="D18" t="s">
        <v>96</v>
      </c>
      <c r="E18">
        <v>27</v>
      </c>
      <c r="F18">
        <v>20465</v>
      </c>
      <c r="G18">
        <v>1468</v>
      </c>
      <c r="H18">
        <v>21911</v>
      </c>
      <c r="I18">
        <v>1481</v>
      </c>
      <c r="J18">
        <v>0</v>
      </c>
    </row>
    <row r="19" spans="1:10">
      <c r="A19" t="s">
        <v>93</v>
      </c>
      <c r="B19">
        <v>3</v>
      </c>
      <c r="C19" t="s">
        <v>98</v>
      </c>
      <c r="D19" t="s">
        <v>97</v>
      </c>
      <c r="E19">
        <v>51</v>
      </c>
      <c r="F19">
        <v>38678</v>
      </c>
      <c r="G19">
        <v>1720</v>
      </c>
      <c r="H19">
        <v>41486</v>
      </c>
      <c r="I19">
        <v>1741</v>
      </c>
      <c r="J19">
        <v>0</v>
      </c>
    </row>
    <row r="20" spans="1:10">
      <c r="A20" t="s">
        <v>99</v>
      </c>
      <c r="B20">
        <v>1</v>
      </c>
      <c r="C20" t="s">
        <v>94</v>
      </c>
      <c r="D20" t="s">
        <v>95</v>
      </c>
      <c r="E20">
        <v>14</v>
      </c>
      <c r="F20">
        <v>22457</v>
      </c>
      <c r="G20">
        <v>2587</v>
      </c>
      <c r="H20">
        <v>43922</v>
      </c>
      <c r="I20">
        <v>5421</v>
      </c>
      <c r="J20">
        <v>60</v>
      </c>
    </row>
    <row r="21" spans="1:10">
      <c r="A21" t="s">
        <v>99</v>
      </c>
      <c r="B21">
        <v>1</v>
      </c>
      <c r="C21" t="s">
        <v>94</v>
      </c>
      <c r="D21" t="s">
        <v>96</v>
      </c>
      <c r="E21">
        <v>27</v>
      </c>
      <c r="F21">
        <v>42324</v>
      </c>
      <c r="G21">
        <v>3312</v>
      </c>
      <c r="H21">
        <v>85089</v>
      </c>
      <c r="I21">
        <v>7292</v>
      </c>
      <c r="J21">
        <v>60</v>
      </c>
    </row>
    <row r="22" spans="1:10">
      <c r="A22" t="s">
        <v>99</v>
      </c>
      <c r="B22">
        <v>1</v>
      </c>
      <c r="C22" t="s">
        <v>94</v>
      </c>
      <c r="D22" t="s">
        <v>97</v>
      </c>
      <c r="E22">
        <v>51</v>
      </c>
      <c r="F22">
        <v>82375</v>
      </c>
      <c r="G22">
        <v>4686</v>
      </c>
      <c r="H22">
        <v>167102</v>
      </c>
      <c r="I22">
        <v>10799</v>
      </c>
      <c r="J22">
        <v>60</v>
      </c>
    </row>
    <row r="23" spans="1:10">
      <c r="A23" t="s">
        <v>99</v>
      </c>
      <c r="B23">
        <v>1</v>
      </c>
      <c r="C23" t="s">
        <v>98</v>
      </c>
      <c r="D23" t="s">
        <v>95</v>
      </c>
      <c r="E23">
        <v>14</v>
      </c>
      <c r="F23">
        <v>17376</v>
      </c>
      <c r="G23">
        <v>1894</v>
      </c>
      <c r="H23">
        <v>18736</v>
      </c>
      <c r="I23">
        <v>1913</v>
      </c>
      <c r="J23">
        <v>60</v>
      </c>
    </row>
    <row r="24" spans="1:10">
      <c r="A24" t="s">
        <v>99</v>
      </c>
      <c r="B24">
        <v>1</v>
      </c>
      <c r="C24" t="s">
        <v>98</v>
      </c>
      <c r="D24" t="s">
        <v>96</v>
      </c>
      <c r="E24">
        <v>27</v>
      </c>
      <c r="F24">
        <v>32574</v>
      </c>
      <c r="G24">
        <v>2557</v>
      </c>
      <c r="H24">
        <v>35106</v>
      </c>
      <c r="I24">
        <v>2580</v>
      </c>
      <c r="J24">
        <v>60</v>
      </c>
    </row>
    <row r="25" spans="1:10">
      <c r="A25" t="s">
        <v>99</v>
      </c>
      <c r="B25">
        <v>1</v>
      </c>
      <c r="C25" t="s">
        <v>98</v>
      </c>
      <c r="D25" t="s">
        <v>97</v>
      </c>
      <c r="E25">
        <v>51</v>
      </c>
      <c r="F25">
        <v>63357</v>
      </c>
      <c r="G25">
        <v>3876</v>
      </c>
      <c r="H25">
        <v>68417</v>
      </c>
      <c r="I25">
        <v>3920</v>
      </c>
      <c r="J25">
        <v>60</v>
      </c>
    </row>
    <row r="26" spans="1:10">
      <c r="A26" t="s">
        <v>99</v>
      </c>
      <c r="B26">
        <v>2</v>
      </c>
      <c r="C26" t="s">
        <v>94</v>
      </c>
      <c r="D26" t="s">
        <v>95</v>
      </c>
      <c r="E26">
        <v>14</v>
      </c>
      <c r="F26">
        <v>20974</v>
      </c>
      <c r="G26">
        <v>2204</v>
      </c>
      <c r="H26">
        <v>42279</v>
      </c>
      <c r="I26">
        <v>4730</v>
      </c>
      <c r="J26">
        <v>60</v>
      </c>
    </row>
    <row r="27" spans="1:10">
      <c r="A27" t="s">
        <v>99</v>
      </c>
      <c r="B27">
        <v>2</v>
      </c>
      <c r="C27" t="s">
        <v>94</v>
      </c>
      <c r="D27" t="s">
        <v>96</v>
      </c>
      <c r="E27">
        <v>27</v>
      </c>
      <c r="F27">
        <v>39917</v>
      </c>
      <c r="G27">
        <v>2945</v>
      </c>
      <c r="H27">
        <v>82468</v>
      </c>
      <c r="I27">
        <v>6638</v>
      </c>
      <c r="J27">
        <v>60</v>
      </c>
    </row>
    <row r="28" spans="1:10">
      <c r="A28" t="s">
        <v>99</v>
      </c>
      <c r="B28">
        <v>2</v>
      </c>
      <c r="C28" t="s">
        <v>94</v>
      </c>
      <c r="D28" t="s">
        <v>97</v>
      </c>
      <c r="E28">
        <v>51</v>
      </c>
      <c r="F28">
        <v>77950</v>
      </c>
      <c r="G28">
        <v>4321</v>
      </c>
      <c r="H28">
        <v>162503</v>
      </c>
      <c r="I28">
        <v>10206</v>
      </c>
      <c r="J28">
        <v>60</v>
      </c>
    </row>
    <row r="29" spans="1:10">
      <c r="A29" t="s">
        <v>99</v>
      </c>
      <c r="B29">
        <v>2</v>
      </c>
      <c r="C29" t="s">
        <v>98</v>
      </c>
      <c r="D29" t="s">
        <v>95</v>
      </c>
      <c r="E29">
        <v>14</v>
      </c>
      <c r="F29">
        <v>15928</v>
      </c>
      <c r="G29">
        <v>1647</v>
      </c>
      <c r="H29">
        <v>17024</v>
      </c>
      <c r="I29">
        <v>1659</v>
      </c>
      <c r="J29">
        <v>60</v>
      </c>
    </row>
    <row r="30" spans="1:10">
      <c r="A30" t="s">
        <v>99</v>
      </c>
      <c r="B30">
        <v>2</v>
      </c>
      <c r="C30" t="s">
        <v>98</v>
      </c>
      <c r="D30" t="s">
        <v>96</v>
      </c>
      <c r="E30">
        <v>27</v>
      </c>
      <c r="F30">
        <v>30131</v>
      </c>
      <c r="G30">
        <v>2312</v>
      </c>
      <c r="H30">
        <v>32168</v>
      </c>
      <c r="I30">
        <v>2329</v>
      </c>
      <c r="J30">
        <v>60</v>
      </c>
    </row>
    <row r="31" spans="1:10">
      <c r="A31" t="s">
        <v>99</v>
      </c>
      <c r="B31">
        <v>2</v>
      </c>
      <c r="C31" t="s">
        <v>98</v>
      </c>
      <c r="D31" t="s">
        <v>97</v>
      </c>
      <c r="E31">
        <v>51</v>
      </c>
      <c r="F31">
        <v>58732</v>
      </c>
      <c r="G31">
        <v>3614</v>
      </c>
      <c r="H31">
        <v>62749</v>
      </c>
      <c r="I31">
        <v>3638</v>
      </c>
      <c r="J31">
        <v>60</v>
      </c>
    </row>
    <row r="32" spans="1:10">
      <c r="A32" t="s">
        <v>99</v>
      </c>
      <c r="B32">
        <v>3</v>
      </c>
      <c r="C32" t="s">
        <v>94</v>
      </c>
      <c r="D32" t="s">
        <v>95</v>
      </c>
      <c r="E32">
        <v>14</v>
      </c>
      <c r="F32">
        <v>20166</v>
      </c>
      <c r="G32">
        <v>2511</v>
      </c>
      <c r="H32">
        <v>41098</v>
      </c>
      <c r="I32">
        <v>5277</v>
      </c>
      <c r="J32">
        <v>60</v>
      </c>
    </row>
    <row r="33" spans="1:10">
      <c r="A33" t="s">
        <v>99</v>
      </c>
      <c r="B33">
        <v>3</v>
      </c>
      <c r="C33" t="s">
        <v>94</v>
      </c>
      <c r="D33" t="s">
        <v>96</v>
      </c>
      <c r="E33">
        <v>27</v>
      </c>
      <c r="F33">
        <v>38047</v>
      </c>
      <c r="G33">
        <v>3220</v>
      </c>
      <c r="H33">
        <v>79417</v>
      </c>
      <c r="I33">
        <v>7089</v>
      </c>
      <c r="J33">
        <v>60</v>
      </c>
    </row>
    <row r="34" spans="1:10">
      <c r="A34" t="s">
        <v>99</v>
      </c>
      <c r="B34">
        <v>3</v>
      </c>
      <c r="C34" t="s">
        <v>94</v>
      </c>
      <c r="D34" t="s">
        <v>97</v>
      </c>
      <c r="E34">
        <v>51</v>
      </c>
      <c r="F34">
        <v>74177</v>
      </c>
      <c r="G34">
        <v>4581</v>
      </c>
      <c r="H34">
        <v>156547</v>
      </c>
      <c r="I34">
        <v>10599</v>
      </c>
      <c r="J34">
        <v>60</v>
      </c>
    </row>
    <row r="35" spans="1:10">
      <c r="A35" t="s">
        <v>99</v>
      </c>
      <c r="B35">
        <v>3</v>
      </c>
      <c r="C35" t="s">
        <v>98</v>
      </c>
      <c r="D35" t="s">
        <v>95</v>
      </c>
      <c r="E35">
        <v>14</v>
      </c>
      <c r="F35">
        <v>15231</v>
      </c>
      <c r="G35">
        <v>1866</v>
      </c>
      <c r="H35">
        <v>16032</v>
      </c>
      <c r="I35">
        <v>1875</v>
      </c>
      <c r="J35">
        <v>60</v>
      </c>
    </row>
    <row r="36" spans="1:10">
      <c r="A36" t="s">
        <v>99</v>
      </c>
      <c r="B36">
        <v>3</v>
      </c>
      <c r="C36" t="s">
        <v>98</v>
      </c>
      <c r="D36" t="s">
        <v>96</v>
      </c>
      <c r="E36">
        <v>27</v>
      </c>
      <c r="F36">
        <v>28722</v>
      </c>
      <c r="G36">
        <v>2539</v>
      </c>
      <c r="H36">
        <v>30168</v>
      </c>
      <c r="I36">
        <v>2552</v>
      </c>
      <c r="J36">
        <v>60</v>
      </c>
    </row>
    <row r="37" spans="1:10">
      <c r="A37" t="s">
        <v>99</v>
      </c>
      <c r="B37">
        <v>3</v>
      </c>
      <c r="C37" t="s">
        <v>98</v>
      </c>
      <c r="D37" t="s">
        <v>97</v>
      </c>
      <c r="E37">
        <v>51</v>
      </c>
      <c r="F37">
        <v>55851</v>
      </c>
      <c r="G37">
        <v>3876</v>
      </c>
      <c r="H37">
        <v>58659</v>
      </c>
      <c r="I37">
        <v>3897</v>
      </c>
      <c r="J37">
        <v>60</v>
      </c>
    </row>
    <row r="38" spans="1:10">
      <c r="A38" t="s">
        <v>100</v>
      </c>
      <c r="B38">
        <v>1</v>
      </c>
      <c r="C38" t="s">
        <v>94</v>
      </c>
      <c r="D38" t="s">
        <v>95</v>
      </c>
      <c r="E38">
        <v>14</v>
      </c>
      <c r="F38">
        <v>26657</v>
      </c>
      <c r="G38">
        <v>3187</v>
      </c>
      <c r="H38">
        <v>55682</v>
      </c>
      <c r="I38">
        <v>7101</v>
      </c>
      <c r="J38">
        <v>120</v>
      </c>
    </row>
    <row r="39" spans="1:10">
      <c r="A39" t="s">
        <v>100</v>
      </c>
      <c r="B39">
        <v>1</v>
      </c>
      <c r="C39" t="s">
        <v>94</v>
      </c>
      <c r="D39" t="s">
        <v>96</v>
      </c>
      <c r="E39">
        <v>27</v>
      </c>
      <c r="F39">
        <v>51564</v>
      </c>
      <c r="G39">
        <v>4512</v>
      </c>
      <c r="H39">
        <v>110961</v>
      </c>
      <c r="I39">
        <v>10652</v>
      </c>
      <c r="J39">
        <v>120</v>
      </c>
    </row>
    <row r="40" spans="1:10">
      <c r="A40" t="s">
        <v>100</v>
      </c>
      <c r="B40">
        <v>1</v>
      </c>
      <c r="C40" t="s">
        <v>94</v>
      </c>
      <c r="D40" t="s">
        <v>97</v>
      </c>
      <c r="E40">
        <v>51</v>
      </c>
      <c r="F40">
        <v>101515</v>
      </c>
      <c r="G40">
        <v>7086</v>
      </c>
      <c r="H40">
        <v>220694</v>
      </c>
      <c r="I40">
        <v>17519</v>
      </c>
      <c r="J40">
        <v>120</v>
      </c>
    </row>
    <row r="41" spans="1:10">
      <c r="A41" t="s">
        <v>100</v>
      </c>
      <c r="B41">
        <v>1</v>
      </c>
      <c r="C41" t="s">
        <v>98</v>
      </c>
      <c r="D41" t="s">
        <v>95</v>
      </c>
      <c r="E41">
        <v>14</v>
      </c>
      <c r="F41">
        <v>21618</v>
      </c>
      <c r="G41">
        <v>2503</v>
      </c>
      <c r="H41">
        <v>22978</v>
      </c>
      <c r="I41">
        <v>2522</v>
      </c>
      <c r="J41">
        <v>120</v>
      </c>
    </row>
    <row r="42" spans="1:10">
      <c r="A42" t="s">
        <v>100</v>
      </c>
      <c r="B42">
        <v>1</v>
      </c>
      <c r="C42" t="s">
        <v>98</v>
      </c>
      <c r="D42" t="s">
        <v>96</v>
      </c>
      <c r="E42">
        <v>27</v>
      </c>
      <c r="F42">
        <v>41954</v>
      </c>
      <c r="G42">
        <v>3775</v>
      </c>
      <c r="H42">
        <v>44486</v>
      </c>
      <c r="I42">
        <v>3798</v>
      </c>
      <c r="J42">
        <v>120</v>
      </c>
    </row>
    <row r="43" spans="1:10">
      <c r="A43" t="s">
        <v>100</v>
      </c>
      <c r="B43">
        <v>1</v>
      </c>
      <c r="C43" t="s">
        <v>98</v>
      </c>
      <c r="D43" t="s">
        <v>97</v>
      </c>
      <c r="E43">
        <v>51</v>
      </c>
      <c r="F43">
        <v>82838</v>
      </c>
      <c r="G43">
        <v>6319</v>
      </c>
      <c r="H43">
        <v>87898</v>
      </c>
      <c r="I43">
        <v>6363</v>
      </c>
      <c r="J43">
        <v>120</v>
      </c>
    </row>
    <row r="44" spans="1:10">
      <c r="A44" t="s">
        <v>100</v>
      </c>
      <c r="B44">
        <v>2</v>
      </c>
      <c r="C44" t="s">
        <v>94</v>
      </c>
      <c r="D44" t="s">
        <v>95</v>
      </c>
      <c r="E44">
        <v>14</v>
      </c>
      <c r="F44">
        <v>25174</v>
      </c>
      <c r="G44">
        <v>2804</v>
      </c>
      <c r="H44">
        <v>54039</v>
      </c>
      <c r="I44">
        <v>6410</v>
      </c>
      <c r="J44">
        <v>120</v>
      </c>
    </row>
    <row r="45" spans="1:10">
      <c r="A45" t="s">
        <v>100</v>
      </c>
      <c r="B45">
        <v>2</v>
      </c>
      <c r="C45" t="s">
        <v>94</v>
      </c>
      <c r="D45" t="s">
        <v>96</v>
      </c>
      <c r="E45">
        <v>27</v>
      </c>
      <c r="F45">
        <v>49157</v>
      </c>
      <c r="G45">
        <v>4145</v>
      </c>
      <c r="H45">
        <v>108340</v>
      </c>
      <c r="I45">
        <v>9998</v>
      </c>
      <c r="J45">
        <v>120</v>
      </c>
    </row>
    <row r="46" spans="1:10">
      <c r="A46" t="s">
        <v>100</v>
      </c>
      <c r="B46">
        <v>2</v>
      </c>
      <c r="C46" t="s">
        <v>94</v>
      </c>
      <c r="D46" t="s">
        <v>97</v>
      </c>
      <c r="E46">
        <v>51</v>
      </c>
      <c r="F46">
        <v>97090</v>
      </c>
      <c r="G46">
        <v>6721</v>
      </c>
      <c r="H46">
        <v>216095</v>
      </c>
      <c r="I46">
        <v>16926</v>
      </c>
      <c r="J46">
        <v>120</v>
      </c>
    </row>
    <row r="47" spans="1:10">
      <c r="A47" t="s">
        <v>100</v>
      </c>
      <c r="B47">
        <v>2</v>
      </c>
      <c r="C47" t="s">
        <v>98</v>
      </c>
      <c r="D47" t="s">
        <v>95</v>
      </c>
      <c r="E47">
        <v>14</v>
      </c>
      <c r="F47">
        <v>20240</v>
      </c>
      <c r="G47">
        <v>2263</v>
      </c>
      <c r="H47">
        <v>21336</v>
      </c>
      <c r="I47">
        <v>2275</v>
      </c>
      <c r="J47">
        <v>120</v>
      </c>
    </row>
    <row r="48" spans="1:10">
      <c r="A48" t="s">
        <v>100</v>
      </c>
      <c r="B48">
        <v>2</v>
      </c>
      <c r="C48" t="s">
        <v>98</v>
      </c>
      <c r="D48" t="s">
        <v>96</v>
      </c>
      <c r="E48">
        <v>27</v>
      </c>
      <c r="F48">
        <v>39567</v>
      </c>
      <c r="G48">
        <v>3537</v>
      </c>
      <c r="H48">
        <v>41604</v>
      </c>
      <c r="I48">
        <v>3554</v>
      </c>
      <c r="J48">
        <v>120</v>
      </c>
    </row>
    <row r="49" spans="1:10">
      <c r="A49" t="s">
        <v>100</v>
      </c>
      <c r="B49">
        <v>2</v>
      </c>
      <c r="C49" t="s">
        <v>98</v>
      </c>
      <c r="D49" t="s">
        <v>97</v>
      </c>
      <c r="E49">
        <v>51</v>
      </c>
      <c r="F49">
        <v>78381</v>
      </c>
      <c r="G49">
        <v>6078</v>
      </c>
      <c r="H49">
        <v>82398</v>
      </c>
      <c r="I49">
        <v>6102</v>
      </c>
      <c r="J49">
        <v>120</v>
      </c>
    </row>
    <row r="50" spans="1:10">
      <c r="A50" t="s">
        <v>100</v>
      </c>
      <c r="B50">
        <v>3</v>
      </c>
      <c r="C50" t="s">
        <v>94</v>
      </c>
      <c r="D50" t="s">
        <v>95</v>
      </c>
      <c r="E50">
        <v>14</v>
      </c>
      <c r="F50">
        <v>24366</v>
      </c>
      <c r="G50">
        <v>3111</v>
      </c>
      <c r="H50">
        <v>52858</v>
      </c>
      <c r="I50">
        <v>6957</v>
      </c>
      <c r="J50">
        <v>120</v>
      </c>
    </row>
    <row r="51" spans="1:10">
      <c r="A51" t="s">
        <v>100</v>
      </c>
      <c r="B51">
        <v>3</v>
      </c>
      <c r="C51" t="s">
        <v>94</v>
      </c>
      <c r="D51" t="s">
        <v>96</v>
      </c>
      <c r="E51">
        <v>27</v>
      </c>
      <c r="F51">
        <v>47287</v>
      </c>
      <c r="G51">
        <v>4420</v>
      </c>
      <c r="H51">
        <v>105289</v>
      </c>
      <c r="I51">
        <v>10449</v>
      </c>
      <c r="J51">
        <v>120</v>
      </c>
    </row>
    <row r="52" spans="1:10">
      <c r="A52" t="s">
        <v>100</v>
      </c>
      <c r="B52">
        <v>3</v>
      </c>
      <c r="C52" t="s">
        <v>94</v>
      </c>
      <c r="D52" t="s">
        <v>97</v>
      </c>
      <c r="E52">
        <v>51</v>
      </c>
      <c r="F52">
        <v>93317</v>
      </c>
      <c r="G52">
        <v>6981</v>
      </c>
      <c r="H52">
        <v>210139</v>
      </c>
      <c r="I52">
        <v>17319</v>
      </c>
      <c r="J52">
        <v>120</v>
      </c>
    </row>
    <row r="53" spans="1:10">
      <c r="A53" t="s">
        <v>100</v>
      </c>
      <c r="B53">
        <v>3</v>
      </c>
      <c r="C53" t="s">
        <v>98</v>
      </c>
      <c r="D53" t="s">
        <v>95</v>
      </c>
      <c r="E53">
        <v>14</v>
      </c>
      <c r="F53">
        <v>19368</v>
      </c>
      <c r="G53">
        <v>2454</v>
      </c>
      <c r="H53">
        <v>20169</v>
      </c>
      <c r="I53">
        <v>2463</v>
      </c>
      <c r="J53">
        <v>120</v>
      </c>
    </row>
    <row r="54" spans="1:10">
      <c r="A54" t="s">
        <v>100</v>
      </c>
      <c r="B54">
        <v>3</v>
      </c>
      <c r="C54" t="s">
        <v>98</v>
      </c>
      <c r="D54" t="s">
        <v>96</v>
      </c>
      <c r="E54">
        <v>27</v>
      </c>
      <c r="F54">
        <v>37878</v>
      </c>
      <c r="G54">
        <v>3729</v>
      </c>
      <c r="H54">
        <v>39324</v>
      </c>
      <c r="I54">
        <v>3742</v>
      </c>
      <c r="J54">
        <v>120</v>
      </c>
    </row>
    <row r="55" spans="1:10">
      <c r="A55" t="s">
        <v>100</v>
      </c>
      <c r="B55">
        <v>3</v>
      </c>
      <c r="C55" t="s">
        <v>98</v>
      </c>
      <c r="D55" t="s">
        <v>97</v>
      </c>
      <c r="E55">
        <v>51</v>
      </c>
      <c r="F55">
        <v>74716</v>
      </c>
      <c r="G55">
        <v>6242</v>
      </c>
      <c r="H55">
        <v>77524</v>
      </c>
      <c r="I55">
        <v>6263</v>
      </c>
      <c r="J55">
        <v>120</v>
      </c>
    </row>
  </sheetData>
  <autoFilter ref="A1:J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راهنما</vt:lpstr>
      <vt:lpstr>ماشین‌حساب</vt:lpstr>
      <vt:lpstr>قیمت مدل‌ها</vt:lpstr>
      <vt:lpstr>سهمیه</vt:lpstr>
      <vt:lpstr>نمونه‌ها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Virtual patient AI token and cost planning — offline samples</dc:title>
  <dc:creator/>
  <dc:description>No credentials; no live-model benchmark. Prices observed 2026-09-18.</dc:description>
  <cp:lastModifiedBy/>
  <dcterms:created xsi:type="dcterms:W3CDTF">2026-09-18T17:23:20Z</dcterms:created>
  <dcterms:modified xsi:type="dcterms:W3CDTF">2026-09-18T17:23:20Z</dcterms:modified>
</cp:coreProperties>
</file>